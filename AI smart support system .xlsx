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<sst xmlns="http://schemas.openxmlformats.org/spreadsheetml/2006/main" count="7" uniqueCount="7">
  <si>
    <t>Product review</t>
  </si>
  <si>
    <t>Sentiment Analysis</t>
  </si>
  <si>
    <t xml:space="preserve">Reply mail </t>
  </si>
  <si>
    <t>The battery life is excellent and lasts all day. The sound quality of the headphones is also very good</t>
  </si>
  <si>
    <t>The sound quality is poor and very noisy. The battery performance is also disappointing</t>
  </si>
  <si>
    <t>The battery is average and works fine for regular use. The sound quality is okay, not great but not bad</t>
  </si>
  <si>
    <t>The laptop works fine for office tasks, but it heats up sometimes.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</si>
</sst>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38"/>
    <col customWidth="1" min="2" max="2" width="28.38"/>
    <col customWidth="1" min="3" max="3" width="43.5"/>
    <col customWidth="1" min="4" max="4" width="40.63"/>
  </cols>
  <sheetData>
    <row r="1">
      <c r="A1" s="1" t="s">
        <v>0</v>
      </c>
      <c r="B1" s="1" t="s">
        <v>1</v>
      </c>
      <c r="C1" s="1" t="s">
        <v>2</v>
      </c>
    </row>
    <row r="2" ht="126.75" customHeight="1">
      <c r="A2" s="2" t="s">
        <v>3</v>
      </c>
      <c r="B2" s="3" t="str">
        <f t="shared" ref="B2:B3" si="1">REVIEW_SENTIMENT(A2)</f>
        <v>Positive</v>
      </c>
      <c r="C2" s="4" t="str">
        <f t="shared" ref="C2:C3" si="2">SUPPORT_REPLY(A2)</f>
        <v>Thank you so much for your wonderful review! We're absolutely delighted to hear that you're enjoying the excellent all-day battery life and the very good sound quality of your headphones.
Your feedback truly brightens our day, and we're so pleased our product is meeting your expectations for both performance and audio experience. We hope you continue to enjoy them for a long time to come!</v>
      </c>
      <c r="D2" s="4" t="str">
        <f>SUPPORT_REPLY_LANG(A2,"Spanish")</f>
        <v>¡Hola! Agradecemos sinceramente que hayas compartido tu excelente reseña.
Nos llena de alegría saber que estás disfrutando de la destacada duración de la batería y de la muy buena calidad de sonido de nuestros auriculares. Tu satisfacción es nuestra mayor recompensa y nos motiva a seguir ofreciendo productos de alta calidad.
¡Que los sigas disfrutando al máximo!</v>
      </c>
    </row>
    <row r="3">
      <c r="A3" s="2" t="s">
        <v>4</v>
      </c>
      <c r="B3" s="3" t="str">
        <f t="shared" si="1"/>
        <v>Negative</v>
      </c>
      <c r="C3" s="4" t="str">
        <f t="shared" si="2"/>
        <v>We're truly sorry to hear you're experiencing poor sound quality, noise, and disappointing battery performance with your product. This is certainly not the experience we aim for.
For the sound issues, we recommend checking your device settings or trying a different audio source, as well as ensuring the product firmware is updated. Regarding the battery, please ensure it's fully charged using the provided cable.
We're committed to your satisfaction and would love to help. Please contact our support team directly with your order details so we can troubleshoot and find a solution for you.</v>
      </c>
      <c r="D3" s="4" t="str">
        <f>SUPPORT_REPLY_LANG(A3,"Urdu")</f>
        <v>ہمیں یہ سن کر انتہائی افسوس ہوا کہ آپ کو ہمارے پروڈکٹ کی آواز کے معیار اور بیٹری کی کارکردگی سے متعلق مشکلات کا سامنا ہے۔ ہم آپ کی مایوسی کو سمجھتے ہیں اور اس غیر تسلی بخش تجربے پر معذرت خواہ ہیں۔
ہم آپ کے مسئلے کو حل کرنے کے لیے پرعزم ہیں۔ براہ کرم مزید مدد کے لیے ہماری کسٹمر سروس ٹیم سے رابطہ کریں۔ ہم آپ کی مکمل رہنمائی کرنے اور آپ کو ایک بہتر حل فراہم کرنے کے لیے حاضر ہیں۔</v>
      </c>
    </row>
    <row r="4">
      <c r="A4" s="2" t="s">
        <v>5</v>
      </c>
      <c r="D4" s="3" t="str">
        <f>SUPPORT_REPLY_LANG(A4,"spanish")</f>
        <v>Error: No response from Gemini</v>
      </c>
    </row>
    <row r="5">
      <c r="A5" s="2" t="s">
        <v>6</v>
      </c>
      <c r="C5" s="4" t="str">
        <f>SUPPORT_REPLY(A5)</f>
        <v>Thank you for sharing your feedback! We're pleased to hear your laptop handles office tasks well. We understand your concern about it heating up occasionally.
This can sometimes happen with intensive use. To help, ensure the vents are clear and try using it on a hard, flat surface to allow for better airflow. If the issue persists or becomes bothersome, please don't hesitate to reach out to our support team. We're here to help ensure your experience is comfortable and seamless.</v>
      </c>
      <c r="D5" s="4" t="str">
        <f>SUPPORT_REPLY_LANG(A5,"ta")</f>
        <v>அலுவலகப் பணிகளுக்கு எங்கள் லேப்டாப் சிறப்பாகச் செயல்படுகிறது என்பதை அறிந்து மகிழ்ச்சி அடைகிறோம். சில சமயங்களில் சூடாவதைப் பற்றிய உங்கள் கருத்தை நாங்கள் புரிந்துகொள்கிறோம்.
இது போன்ற சூழ்நிலைகள் லேப்டாப்களில் ஏற்படுவது பொதுவானதே. எனினும், இதற்குத் தீர்வு காண நாங்கள் உங்களுக்கு உதவ விரும்புகிறோம். தயவுசெய்து எங்கள் வாடிக்கையாளர் ஆதரவைத் தொடர்பு கொள்ளவும். உங்களின் அனுபவத்தை மேம்படுத்த நாங்கள் தயாராக இருக்கிறோம்.</v>
      </c>
    </row>
  </sheetData>
  <drawing r:id="rId1"/>
</worksheet>
</file>